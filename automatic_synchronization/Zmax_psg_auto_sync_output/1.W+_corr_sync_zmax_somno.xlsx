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run_sync_graphs\Zmax_psg\"/>
    </mc:Choice>
  </mc:AlternateContent>
  <xr:revisionPtr revIDLastSave="0" documentId="13_ncr:1_{DF460174-645C-44C4-A163-01F1863ACB94}" xr6:coauthVersionLast="36" xr6:coauthVersionMax="36" xr10:uidLastSave="{00000000-0000-0000-0000-000000000000}"/>
  <bookViews>
    <workbookView xWindow="2920" yWindow="0" windowWidth="20790" windowHeight="84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5" i="1" l="1"/>
  <c r="H4" i="1"/>
  <c r="H3" i="1"/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2" i="1"/>
  <c r="E2" i="1" s="1"/>
  <c r="G5" i="1" l="1"/>
  <c r="G4" i="1"/>
  <c r="G3" i="1"/>
  <c r="G2" i="1"/>
</calcChain>
</file>

<file path=xl/sharedStrings.xml><?xml version="1.0" encoding="utf-8"?>
<sst xmlns="http://schemas.openxmlformats.org/spreadsheetml/2006/main" count="75" uniqueCount="75">
  <si>
    <t>SubjectID</t>
  </si>
  <si>
    <t>Sub001s1</t>
  </si>
  <si>
    <t>Sub002s1</t>
  </si>
  <si>
    <t>Sub004s1</t>
  </si>
  <si>
    <t>Sub005s1</t>
  </si>
  <si>
    <t>Sub008s1</t>
  </si>
  <si>
    <t>Sub009s1</t>
  </si>
  <si>
    <t>Sub010s1</t>
  </si>
  <si>
    <t>Sub011s1</t>
  </si>
  <si>
    <t>Sub012s1</t>
  </si>
  <si>
    <t>Sub016s1</t>
  </si>
  <si>
    <t>Sub017s1</t>
  </si>
  <si>
    <t>Sub020s1</t>
  </si>
  <si>
    <t>Sub022s1</t>
  </si>
  <si>
    <t>Sub024s1</t>
  </si>
  <si>
    <t>Sub025s1</t>
  </si>
  <si>
    <t>Sub027s1</t>
  </si>
  <si>
    <t>Sub028s1</t>
  </si>
  <si>
    <t>Sub029s1</t>
  </si>
  <si>
    <t>Sub031s1</t>
  </si>
  <si>
    <t>Sub034s1</t>
  </si>
  <si>
    <t>Sub035s1</t>
  </si>
  <si>
    <t>Sub036s1</t>
  </si>
  <si>
    <t>Sub038s1</t>
  </si>
  <si>
    <t>Sub039s1</t>
  </si>
  <si>
    <t>Sub040s1</t>
  </si>
  <si>
    <t>Sub041s1</t>
  </si>
  <si>
    <t>Sub043s1</t>
  </si>
  <si>
    <t>Sub044s1</t>
  </si>
  <si>
    <t>Sub045s1</t>
  </si>
  <si>
    <t>Sub046s1</t>
  </si>
  <si>
    <t>Sub047s1</t>
  </si>
  <si>
    <t>Sub048s1</t>
  </si>
  <si>
    <t>Sub050s1</t>
  </si>
  <si>
    <t>Sub051s1</t>
  </si>
  <si>
    <t>Sub053s1</t>
  </si>
  <si>
    <t>Sub060s1</t>
  </si>
  <si>
    <t>Sub061s1</t>
  </si>
  <si>
    <t>Sub062s1</t>
  </si>
  <si>
    <t>Sub064s1</t>
  </si>
  <si>
    <t>Sub065s1</t>
  </si>
  <si>
    <t>Sub066s1</t>
  </si>
  <si>
    <t>Sub070s1</t>
  </si>
  <si>
    <t>Sub071s1</t>
  </si>
  <si>
    <t>Sub072s1</t>
  </si>
  <si>
    <t>Sub073s1</t>
  </si>
  <si>
    <t>Sub074s1</t>
  </si>
  <si>
    <t>Sub083s1</t>
  </si>
  <si>
    <t>Sub085s1</t>
  </si>
  <si>
    <t>Sub086s1</t>
  </si>
  <si>
    <t>Sub093s1</t>
  </si>
  <si>
    <t>Sub094s1</t>
  </si>
  <si>
    <t>Sub097s1</t>
  </si>
  <si>
    <t>Sub099s1</t>
  </si>
  <si>
    <t>Sub100s1</t>
  </si>
  <si>
    <t>Sub101s1</t>
  </si>
  <si>
    <t>Sub102s1</t>
  </si>
  <si>
    <t>Sub104s1</t>
  </si>
  <si>
    <t>Sub105s1</t>
  </si>
  <si>
    <t>Sub106s1</t>
  </si>
  <si>
    <t>Sub107s1</t>
  </si>
  <si>
    <t>Sub108s1</t>
  </si>
  <si>
    <t>Sub109s1</t>
  </si>
  <si>
    <t>Sub110s1</t>
  </si>
  <si>
    <t>Sub111s1</t>
  </si>
  <si>
    <t>psg_pred_start_sec</t>
  </si>
  <si>
    <t>PSG_start_sec</t>
  </si>
  <si>
    <t>diff_sec</t>
  </si>
  <si>
    <t>diff_epoch</t>
  </si>
  <si>
    <t>count</t>
  </si>
  <si>
    <t>%</t>
  </si>
  <si>
    <t>Total nights:</t>
  </si>
  <si>
    <t>Exact match:</t>
  </si>
  <si>
    <t>Within 1 epoch:</t>
  </si>
  <si>
    <t>Over 2 epochs: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</si>
</sst>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zoomScaleNormal="100" workbookViewId="0">
      <selection activeCell="F15" sqref="F15"/>
    </sheetView>
  </sheetViews>
  <sheetFormatPr defaultRowHeight="14.5" x14ac:dyDescent="0.35"/>
  <cols>
    <col min="1" max="1" width="9.54296875" customWidth="1"/>
    <col min="2" max="2" width="18.1796875" customWidth="1"/>
    <col min="3" max="3" width="13.453125" customWidth="1"/>
    <col min="4" max="4" width="11.54296875" customWidth="1"/>
    <col min="5" max="5" width="10.54296875" customWidth="1"/>
    <col min="6" max="6" width="14.26953125" customWidth="1"/>
    <col min="7" max="7" width="6.90625" customWidth="1"/>
    <col min="8" max="8" width="7.1796875" customWidth="1"/>
  </cols>
  <sheetData>
    <row r="1" spans="1:8" x14ac:dyDescent="0.35">
      <c r="A1" t="s">
        <v>0</v>
      </c>
      <c r="B1" t="s">
        <v>65</v>
      </c>
      <c r="C1" t="s">
        <v>66</v>
      </c>
      <c r="D1" t="s">
        <v>67</v>
      </c>
      <c r="E1" t="s">
        <v>68</v>
      </c>
      <c r="G1" t="s">
        <v>69</v>
      </c>
      <c r="H1" t="s">
        <v>70</v>
      </c>
    </row>
    <row r="2" spans="1:8" x14ac:dyDescent="0.35">
      <c r="A2" t="s">
        <v>1</v>
      </c>
      <c r="B2">
        <v>115</v>
      </c>
      <c r="C2">
        <v>118</v>
      </c>
      <c r="D2">
        <f>ABS(B2-C2)</f>
        <v>3</v>
      </c>
      <c r="E2">
        <f>ROUND(D2/30, 0)</f>
        <v>0</v>
      </c>
      <c r="F2" t="s">
        <v>71</v>
      </c>
      <c r="G2">
        <f>COUNTIF(E:E, "&gt;-1")</f>
        <v>64</v>
      </c>
    </row>
    <row r="3" spans="1:8" x14ac:dyDescent="0.35">
      <c r="A3" t="s">
        <v>2</v>
      </c>
      <c r="B3">
        <v>1692</v>
      </c>
      <c r="C3">
        <v>1693</v>
      </c>
      <c r="D3">
        <f t="shared" ref="D3:D64" si="0">ABS(B3-C3)</f>
        <v>1</v>
      </c>
      <c r="E3">
        <f t="shared" ref="E3:E64" si="1">ROUND(D3/30, 0)</f>
        <v>0</v>
      </c>
      <c r="F3" t="s">
        <v>72</v>
      </c>
      <c r="G3">
        <f>COUNTIF(E:E, 0)</f>
        <v>58</v>
      </c>
      <c r="H3">
        <f>(G3/G2)*100</f>
        <v>90.625</v>
      </c>
    </row>
    <row r="4" spans="1:8" x14ac:dyDescent="0.35">
      <c r="A4" t="s">
        <v>3</v>
      </c>
      <c r="B4">
        <v>73</v>
      </c>
      <c r="C4">
        <v>73</v>
      </c>
      <c r="D4">
        <f t="shared" si="0"/>
        <v>0</v>
      </c>
      <c r="E4">
        <f t="shared" si="1"/>
        <v>0</v>
      </c>
      <c r="F4" t="s">
        <v>73</v>
      </c>
      <c r="G4">
        <f>COUNTIF(E:E, "&lt;2")</f>
        <v>62</v>
      </c>
      <c r="H4">
        <f>(G4/G2)*100</f>
        <v>96.875</v>
      </c>
    </row>
    <row r="5" spans="1:8" x14ac:dyDescent="0.35">
      <c r="A5" t="s">
        <v>4</v>
      </c>
      <c r="B5">
        <v>159</v>
      </c>
      <c r="C5">
        <v>161</v>
      </c>
      <c r="D5">
        <f t="shared" si="0"/>
        <v>2</v>
      </c>
      <c r="E5">
        <f t="shared" si="1"/>
        <v>0</v>
      </c>
      <c r="F5" t="s">
        <v>74</v>
      </c>
      <c r="G5">
        <f>COUNTIF(E:E, "&gt;2")</f>
        <v>2</v>
      </c>
      <c r="H5">
        <f>(G5/G2)*100</f>
        <v>3.125</v>
      </c>
    </row>
    <row r="6" spans="1:8" x14ac:dyDescent="0.35">
      <c r="A6" t="s">
        <v>5</v>
      </c>
      <c r="B6">
        <v>133</v>
      </c>
      <c r="C6">
        <v>133</v>
      </c>
      <c r="D6">
        <f t="shared" si="0"/>
        <v>0</v>
      </c>
      <c r="E6">
        <f t="shared" si="1"/>
        <v>0</v>
      </c>
    </row>
    <row r="7" spans="1:8" x14ac:dyDescent="0.35">
      <c r="A7" t="s">
        <v>6</v>
      </c>
      <c r="B7">
        <v>65</v>
      </c>
      <c r="C7">
        <v>65</v>
      </c>
      <c r="D7">
        <f t="shared" si="0"/>
        <v>0</v>
      </c>
      <c r="E7">
        <f t="shared" si="1"/>
        <v>0</v>
      </c>
    </row>
    <row r="8" spans="1:8" x14ac:dyDescent="0.35">
      <c r="A8" t="s">
        <v>7</v>
      </c>
      <c r="B8">
        <v>70</v>
      </c>
      <c r="C8">
        <v>75</v>
      </c>
      <c r="D8">
        <f t="shared" si="0"/>
        <v>5</v>
      </c>
      <c r="E8">
        <f t="shared" si="1"/>
        <v>0</v>
      </c>
    </row>
    <row r="9" spans="1:8" x14ac:dyDescent="0.35">
      <c r="A9" t="s">
        <v>8</v>
      </c>
      <c r="B9">
        <v>85</v>
      </c>
      <c r="C9">
        <v>106</v>
      </c>
      <c r="D9">
        <f t="shared" si="0"/>
        <v>21</v>
      </c>
      <c r="E9">
        <f t="shared" si="1"/>
        <v>1</v>
      </c>
    </row>
    <row r="10" spans="1:8" x14ac:dyDescent="0.35">
      <c r="A10" t="s">
        <v>9</v>
      </c>
      <c r="B10">
        <v>140</v>
      </c>
      <c r="C10">
        <v>142</v>
      </c>
      <c r="D10">
        <f t="shared" si="0"/>
        <v>2</v>
      </c>
      <c r="E10">
        <f t="shared" si="1"/>
        <v>0</v>
      </c>
    </row>
    <row r="11" spans="1:8" x14ac:dyDescent="0.35">
      <c r="A11" t="s">
        <v>10</v>
      </c>
      <c r="B11">
        <v>265</v>
      </c>
      <c r="C11">
        <v>267</v>
      </c>
      <c r="D11">
        <f t="shared" si="0"/>
        <v>2</v>
      </c>
      <c r="E11">
        <f t="shared" si="1"/>
        <v>0</v>
      </c>
    </row>
    <row r="12" spans="1:8" x14ac:dyDescent="0.35">
      <c r="A12" t="s">
        <v>11</v>
      </c>
      <c r="B12">
        <v>193</v>
      </c>
      <c r="C12">
        <v>195</v>
      </c>
      <c r="D12">
        <f t="shared" si="0"/>
        <v>2</v>
      </c>
      <c r="E12">
        <f t="shared" si="1"/>
        <v>0</v>
      </c>
    </row>
    <row r="13" spans="1:8" x14ac:dyDescent="0.35">
      <c r="A13" t="s">
        <v>12</v>
      </c>
      <c r="B13">
        <v>206</v>
      </c>
      <c r="C13">
        <v>218</v>
      </c>
      <c r="D13">
        <f t="shared" si="0"/>
        <v>12</v>
      </c>
      <c r="E13">
        <f t="shared" si="1"/>
        <v>0</v>
      </c>
    </row>
    <row r="14" spans="1:8" x14ac:dyDescent="0.35">
      <c r="A14" t="s">
        <v>13</v>
      </c>
      <c r="B14">
        <v>510</v>
      </c>
      <c r="C14">
        <v>509</v>
      </c>
      <c r="D14">
        <f t="shared" si="0"/>
        <v>1</v>
      </c>
      <c r="E14">
        <f t="shared" si="1"/>
        <v>0</v>
      </c>
    </row>
    <row r="15" spans="1:8" x14ac:dyDescent="0.35">
      <c r="A15" t="s">
        <v>14</v>
      </c>
      <c r="B15">
        <v>131</v>
      </c>
      <c r="C15">
        <v>135</v>
      </c>
      <c r="D15">
        <f t="shared" si="0"/>
        <v>4</v>
      </c>
      <c r="E15">
        <f t="shared" si="1"/>
        <v>0</v>
      </c>
    </row>
    <row r="16" spans="1:8" x14ac:dyDescent="0.35">
      <c r="A16" t="s">
        <v>15</v>
      </c>
      <c r="B16">
        <v>353</v>
      </c>
      <c r="C16">
        <v>370</v>
      </c>
      <c r="D16">
        <f t="shared" si="0"/>
        <v>17</v>
      </c>
      <c r="E16">
        <f t="shared" si="1"/>
        <v>1</v>
      </c>
    </row>
    <row r="17" spans="1:5" x14ac:dyDescent="0.35">
      <c r="A17" t="s">
        <v>16</v>
      </c>
      <c r="B17">
        <v>243</v>
      </c>
      <c r="C17">
        <v>245</v>
      </c>
      <c r="D17">
        <f t="shared" si="0"/>
        <v>2</v>
      </c>
      <c r="E17">
        <f t="shared" si="1"/>
        <v>0</v>
      </c>
    </row>
    <row r="18" spans="1:5" x14ac:dyDescent="0.35">
      <c r="A18" t="s">
        <v>17</v>
      </c>
      <c r="B18">
        <v>324</v>
      </c>
      <c r="C18">
        <v>326</v>
      </c>
      <c r="D18">
        <f t="shared" si="0"/>
        <v>2</v>
      </c>
      <c r="E18">
        <f t="shared" si="1"/>
        <v>0</v>
      </c>
    </row>
    <row r="19" spans="1:5" x14ac:dyDescent="0.35">
      <c r="A19" t="s">
        <v>18</v>
      </c>
      <c r="B19">
        <v>1326</v>
      </c>
      <c r="C19">
        <v>1322</v>
      </c>
      <c r="D19">
        <f t="shared" si="0"/>
        <v>4</v>
      </c>
      <c r="E19">
        <f t="shared" si="1"/>
        <v>0</v>
      </c>
    </row>
    <row r="20" spans="1:5" x14ac:dyDescent="0.35">
      <c r="A20" t="s">
        <v>19</v>
      </c>
      <c r="B20">
        <v>48</v>
      </c>
      <c r="C20">
        <v>52</v>
      </c>
      <c r="D20">
        <f t="shared" si="0"/>
        <v>4</v>
      </c>
      <c r="E20">
        <f t="shared" si="1"/>
        <v>0</v>
      </c>
    </row>
    <row r="21" spans="1:5" x14ac:dyDescent="0.35">
      <c r="A21" t="s">
        <v>20</v>
      </c>
      <c r="B21">
        <v>62</v>
      </c>
      <c r="C21">
        <v>64</v>
      </c>
      <c r="D21">
        <f t="shared" si="0"/>
        <v>2</v>
      </c>
      <c r="E21">
        <f t="shared" si="1"/>
        <v>0</v>
      </c>
    </row>
    <row r="22" spans="1:5" x14ac:dyDescent="0.35">
      <c r="A22" t="s">
        <v>21</v>
      </c>
      <c r="B22">
        <v>259</v>
      </c>
      <c r="C22">
        <v>260</v>
      </c>
      <c r="D22">
        <f t="shared" si="0"/>
        <v>1</v>
      </c>
      <c r="E22">
        <f t="shared" si="1"/>
        <v>0</v>
      </c>
    </row>
    <row r="23" spans="1:5" x14ac:dyDescent="0.35">
      <c r="A23" t="s">
        <v>22</v>
      </c>
      <c r="B23">
        <v>78</v>
      </c>
      <c r="C23">
        <v>76</v>
      </c>
      <c r="D23">
        <f t="shared" si="0"/>
        <v>2</v>
      </c>
      <c r="E23">
        <f t="shared" si="1"/>
        <v>0</v>
      </c>
    </row>
    <row r="24" spans="1:5" x14ac:dyDescent="0.35">
      <c r="A24" t="s">
        <v>23</v>
      </c>
      <c r="B24">
        <v>373</v>
      </c>
      <c r="C24">
        <v>372</v>
      </c>
      <c r="D24">
        <f t="shared" si="0"/>
        <v>1</v>
      </c>
      <c r="E24">
        <f t="shared" si="1"/>
        <v>0</v>
      </c>
    </row>
    <row r="25" spans="1:5" x14ac:dyDescent="0.35">
      <c r="A25" t="s">
        <v>24</v>
      </c>
      <c r="B25">
        <v>904</v>
      </c>
      <c r="C25">
        <v>905</v>
      </c>
      <c r="D25">
        <f t="shared" si="0"/>
        <v>1</v>
      </c>
      <c r="E25">
        <f t="shared" si="1"/>
        <v>0</v>
      </c>
    </row>
    <row r="26" spans="1:5" x14ac:dyDescent="0.35">
      <c r="A26" t="s">
        <v>25</v>
      </c>
      <c r="B26">
        <v>286</v>
      </c>
      <c r="C26">
        <v>285</v>
      </c>
      <c r="D26">
        <f t="shared" si="0"/>
        <v>1</v>
      </c>
      <c r="E26">
        <f t="shared" si="1"/>
        <v>0</v>
      </c>
    </row>
    <row r="27" spans="1:5" x14ac:dyDescent="0.35">
      <c r="A27" t="s">
        <v>26</v>
      </c>
      <c r="B27">
        <v>975</v>
      </c>
      <c r="C27">
        <v>976</v>
      </c>
      <c r="D27">
        <f t="shared" si="0"/>
        <v>1</v>
      </c>
      <c r="E27">
        <f t="shared" si="1"/>
        <v>0</v>
      </c>
    </row>
    <row r="28" spans="1:5" x14ac:dyDescent="0.35">
      <c r="A28" t="s">
        <v>27</v>
      </c>
      <c r="B28">
        <v>328</v>
      </c>
      <c r="C28">
        <v>336</v>
      </c>
      <c r="D28">
        <f t="shared" si="0"/>
        <v>8</v>
      </c>
      <c r="E28">
        <f t="shared" si="1"/>
        <v>0</v>
      </c>
    </row>
    <row r="29" spans="1:5" x14ac:dyDescent="0.35">
      <c r="A29" t="s">
        <v>28</v>
      </c>
      <c r="B29">
        <v>1136</v>
      </c>
      <c r="C29">
        <v>1137</v>
      </c>
      <c r="D29">
        <f t="shared" si="0"/>
        <v>1</v>
      </c>
      <c r="E29">
        <f t="shared" si="1"/>
        <v>0</v>
      </c>
    </row>
    <row r="30" spans="1:5" x14ac:dyDescent="0.35">
      <c r="A30" t="s">
        <v>29</v>
      </c>
      <c r="B30">
        <v>454</v>
      </c>
      <c r="C30">
        <v>456</v>
      </c>
      <c r="D30">
        <f t="shared" si="0"/>
        <v>2</v>
      </c>
      <c r="E30">
        <f t="shared" si="1"/>
        <v>0</v>
      </c>
    </row>
    <row r="31" spans="1:5" x14ac:dyDescent="0.35">
      <c r="A31" t="s">
        <v>30</v>
      </c>
      <c r="B31">
        <v>324</v>
      </c>
      <c r="C31">
        <v>330</v>
      </c>
      <c r="D31">
        <f t="shared" si="0"/>
        <v>6</v>
      </c>
      <c r="E31">
        <f t="shared" si="1"/>
        <v>0</v>
      </c>
    </row>
    <row r="32" spans="1:5" x14ac:dyDescent="0.35">
      <c r="A32" t="s">
        <v>31</v>
      </c>
      <c r="B32">
        <v>434</v>
      </c>
      <c r="C32">
        <v>434</v>
      </c>
      <c r="D32">
        <f t="shared" si="0"/>
        <v>0</v>
      </c>
      <c r="E32">
        <f t="shared" si="1"/>
        <v>0</v>
      </c>
    </row>
    <row r="33" spans="1:5" x14ac:dyDescent="0.35">
      <c r="A33" t="s">
        <v>32</v>
      </c>
      <c r="B33">
        <v>189</v>
      </c>
      <c r="C33">
        <v>217</v>
      </c>
      <c r="D33">
        <f t="shared" si="0"/>
        <v>28</v>
      </c>
      <c r="E33">
        <f t="shared" si="1"/>
        <v>1</v>
      </c>
    </row>
    <row r="34" spans="1:5" x14ac:dyDescent="0.35">
      <c r="A34" t="s">
        <v>33</v>
      </c>
      <c r="B34">
        <v>33</v>
      </c>
      <c r="C34">
        <v>34</v>
      </c>
      <c r="D34">
        <f t="shared" si="0"/>
        <v>1</v>
      </c>
      <c r="E34">
        <f t="shared" si="1"/>
        <v>0</v>
      </c>
    </row>
    <row r="35" spans="1:5" x14ac:dyDescent="0.35">
      <c r="A35" t="s">
        <v>34</v>
      </c>
      <c r="B35">
        <v>308</v>
      </c>
      <c r="C35">
        <v>323</v>
      </c>
      <c r="D35">
        <f t="shared" si="0"/>
        <v>15</v>
      </c>
      <c r="E35">
        <f t="shared" si="1"/>
        <v>1</v>
      </c>
    </row>
    <row r="36" spans="1:5" x14ac:dyDescent="0.35">
      <c r="A36" t="s">
        <v>35</v>
      </c>
      <c r="B36">
        <v>86</v>
      </c>
      <c r="C36">
        <v>87</v>
      </c>
      <c r="D36">
        <f t="shared" si="0"/>
        <v>1</v>
      </c>
      <c r="E36">
        <f t="shared" si="1"/>
        <v>0</v>
      </c>
    </row>
    <row r="37" spans="1:5" x14ac:dyDescent="0.35">
      <c r="A37" t="s">
        <v>36</v>
      </c>
      <c r="B37">
        <v>447</v>
      </c>
      <c r="C37">
        <v>448</v>
      </c>
      <c r="D37">
        <f t="shared" si="0"/>
        <v>1</v>
      </c>
      <c r="E37">
        <f t="shared" si="1"/>
        <v>0</v>
      </c>
    </row>
    <row r="38" spans="1:5" x14ac:dyDescent="0.35">
      <c r="A38" t="s">
        <v>37</v>
      </c>
      <c r="B38">
        <v>146</v>
      </c>
      <c r="C38">
        <v>147</v>
      </c>
      <c r="D38">
        <f t="shared" si="0"/>
        <v>1</v>
      </c>
      <c r="E38">
        <f t="shared" si="1"/>
        <v>0</v>
      </c>
    </row>
    <row r="39" spans="1:5" x14ac:dyDescent="0.35">
      <c r="A39" t="s">
        <v>38</v>
      </c>
      <c r="B39">
        <v>266</v>
      </c>
      <c r="C39">
        <v>266</v>
      </c>
      <c r="D39">
        <f t="shared" si="0"/>
        <v>0</v>
      </c>
      <c r="E39">
        <f t="shared" si="1"/>
        <v>0</v>
      </c>
    </row>
    <row r="40" spans="1:5" x14ac:dyDescent="0.35">
      <c r="A40" t="s">
        <v>39</v>
      </c>
      <c r="B40">
        <v>610</v>
      </c>
      <c r="C40">
        <v>612</v>
      </c>
      <c r="D40">
        <f t="shared" si="0"/>
        <v>2</v>
      </c>
      <c r="E40">
        <f t="shared" si="1"/>
        <v>0</v>
      </c>
    </row>
    <row r="41" spans="1:5" x14ac:dyDescent="0.35">
      <c r="A41" t="s">
        <v>40</v>
      </c>
      <c r="B41">
        <v>77</v>
      </c>
      <c r="C41">
        <v>82</v>
      </c>
      <c r="D41">
        <f t="shared" si="0"/>
        <v>5</v>
      </c>
      <c r="E41">
        <f t="shared" si="1"/>
        <v>0</v>
      </c>
    </row>
    <row r="42" spans="1:5" x14ac:dyDescent="0.35">
      <c r="A42" t="s">
        <v>41</v>
      </c>
      <c r="B42">
        <v>183</v>
      </c>
      <c r="C42">
        <v>181</v>
      </c>
      <c r="D42">
        <f t="shared" si="0"/>
        <v>2</v>
      </c>
      <c r="E42">
        <f t="shared" si="1"/>
        <v>0</v>
      </c>
    </row>
    <row r="43" spans="1:5" x14ac:dyDescent="0.35">
      <c r="A43" t="s">
        <v>42</v>
      </c>
      <c r="B43">
        <v>286</v>
      </c>
      <c r="C43">
        <v>285</v>
      </c>
      <c r="D43">
        <f t="shared" si="0"/>
        <v>1</v>
      </c>
      <c r="E43">
        <f t="shared" si="1"/>
        <v>0</v>
      </c>
    </row>
    <row r="44" spans="1:5" x14ac:dyDescent="0.35">
      <c r="A44" t="s">
        <v>43</v>
      </c>
      <c r="B44">
        <v>332</v>
      </c>
      <c r="C44">
        <v>331</v>
      </c>
      <c r="D44">
        <f t="shared" si="0"/>
        <v>1</v>
      </c>
      <c r="E44">
        <f t="shared" si="1"/>
        <v>0</v>
      </c>
    </row>
    <row r="45" spans="1:5" x14ac:dyDescent="0.35">
      <c r="A45" t="s">
        <v>44</v>
      </c>
      <c r="B45">
        <v>373</v>
      </c>
      <c r="C45">
        <v>376</v>
      </c>
      <c r="D45">
        <f t="shared" si="0"/>
        <v>3</v>
      </c>
      <c r="E45">
        <f t="shared" si="1"/>
        <v>0</v>
      </c>
    </row>
    <row r="46" spans="1:5" x14ac:dyDescent="0.35">
      <c r="A46" t="s">
        <v>45</v>
      </c>
      <c r="B46">
        <v>559</v>
      </c>
      <c r="C46">
        <v>560</v>
      </c>
      <c r="D46">
        <f t="shared" si="0"/>
        <v>1</v>
      </c>
      <c r="E46">
        <f t="shared" si="1"/>
        <v>0</v>
      </c>
    </row>
    <row r="47" spans="1:5" x14ac:dyDescent="0.35">
      <c r="A47" t="s">
        <v>46</v>
      </c>
      <c r="B47">
        <v>159</v>
      </c>
      <c r="C47">
        <v>163</v>
      </c>
      <c r="D47">
        <f t="shared" si="0"/>
        <v>4</v>
      </c>
      <c r="E47">
        <f t="shared" si="1"/>
        <v>0</v>
      </c>
    </row>
    <row r="48" spans="1:5" x14ac:dyDescent="0.35">
      <c r="A48" t="s">
        <v>47</v>
      </c>
      <c r="B48">
        <v>169</v>
      </c>
      <c r="C48">
        <v>169</v>
      </c>
      <c r="D48">
        <f t="shared" si="0"/>
        <v>0</v>
      </c>
      <c r="E48">
        <f t="shared" si="1"/>
        <v>0</v>
      </c>
    </row>
    <row r="49" spans="1:5" x14ac:dyDescent="0.35">
      <c r="A49" t="s">
        <v>48</v>
      </c>
      <c r="B49">
        <v>979</v>
      </c>
      <c r="C49">
        <v>980</v>
      </c>
      <c r="D49">
        <f t="shared" si="0"/>
        <v>1</v>
      </c>
      <c r="E49">
        <f t="shared" si="1"/>
        <v>0</v>
      </c>
    </row>
    <row r="50" spans="1:5" x14ac:dyDescent="0.35">
      <c r="A50" t="s">
        <v>49</v>
      </c>
      <c r="B50">
        <v>122</v>
      </c>
      <c r="C50">
        <v>123</v>
      </c>
      <c r="D50">
        <f t="shared" si="0"/>
        <v>1</v>
      </c>
      <c r="E50">
        <f t="shared" si="1"/>
        <v>0</v>
      </c>
    </row>
    <row r="51" spans="1:5" x14ac:dyDescent="0.35">
      <c r="A51" t="s">
        <v>50</v>
      </c>
      <c r="B51">
        <v>276</v>
      </c>
      <c r="C51">
        <v>278</v>
      </c>
      <c r="D51">
        <f t="shared" si="0"/>
        <v>2</v>
      </c>
      <c r="E51">
        <f t="shared" si="1"/>
        <v>0</v>
      </c>
    </row>
    <row r="52" spans="1:5" x14ac:dyDescent="0.35">
      <c r="A52" t="s">
        <v>51</v>
      </c>
      <c r="B52">
        <v>388</v>
      </c>
      <c r="C52">
        <v>389</v>
      </c>
      <c r="D52">
        <f t="shared" si="0"/>
        <v>1</v>
      </c>
      <c r="E52">
        <f t="shared" si="1"/>
        <v>0</v>
      </c>
    </row>
    <row r="53" spans="1:5" x14ac:dyDescent="0.35">
      <c r="A53" t="s">
        <v>52</v>
      </c>
      <c r="B53">
        <v>154</v>
      </c>
      <c r="C53">
        <v>154</v>
      </c>
      <c r="D53">
        <f t="shared" si="0"/>
        <v>0</v>
      </c>
      <c r="E53">
        <f t="shared" si="1"/>
        <v>0</v>
      </c>
    </row>
    <row r="54" spans="1:5" x14ac:dyDescent="0.35">
      <c r="A54" t="s">
        <v>53</v>
      </c>
      <c r="B54">
        <v>653</v>
      </c>
      <c r="C54">
        <v>652</v>
      </c>
      <c r="D54">
        <f t="shared" si="0"/>
        <v>1</v>
      </c>
      <c r="E54">
        <f t="shared" si="1"/>
        <v>0</v>
      </c>
    </row>
    <row r="55" spans="1:5" x14ac:dyDescent="0.35">
      <c r="A55" t="s">
        <v>54</v>
      </c>
      <c r="B55">
        <v>135</v>
      </c>
      <c r="C55">
        <v>357</v>
      </c>
      <c r="D55">
        <f t="shared" si="0"/>
        <v>222</v>
      </c>
      <c r="E55">
        <f t="shared" si="1"/>
        <v>7</v>
      </c>
    </row>
    <row r="56" spans="1:5" x14ac:dyDescent="0.35">
      <c r="A56" t="s">
        <v>55</v>
      </c>
      <c r="B56">
        <v>427</v>
      </c>
      <c r="C56">
        <v>430</v>
      </c>
      <c r="D56">
        <f t="shared" si="0"/>
        <v>3</v>
      </c>
      <c r="E56">
        <f t="shared" si="1"/>
        <v>0</v>
      </c>
    </row>
    <row r="57" spans="1:5" x14ac:dyDescent="0.35">
      <c r="A57" t="s">
        <v>56</v>
      </c>
      <c r="B57">
        <v>141</v>
      </c>
      <c r="C57">
        <v>141</v>
      </c>
      <c r="D57">
        <f t="shared" si="0"/>
        <v>0</v>
      </c>
      <c r="E57">
        <f t="shared" si="1"/>
        <v>0</v>
      </c>
    </row>
    <row r="58" spans="1:5" x14ac:dyDescent="0.35">
      <c r="A58" t="s">
        <v>57</v>
      </c>
      <c r="B58">
        <v>146</v>
      </c>
      <c r="C58">
        <v>147</v>
      </c>
      <c r="D58">
        <f t="shared" si="0"/>
        <v>1</v>
      </c>
      <c r="E58">
        <f t="shared" si="1"/>
        <v>0</v>
      </c>
    </row>
    <row r="59" spans="1:5" x14ac:dyDescent="0.35">
      <c r="A59" t="s">
        <v>58</v>
      </c>
      <c r="B59">
        <v>183</v>
      </c>
      <c r="C59">
        <v>197</v>
      </c>
      <c r="D59">
        <f t="shared" si="0"/>
        <v>14</v>
      </c>
      <c r="E59">
        <f t="shared" si="1"/>
        <v>0</v>
      </c>
    </row>
    <row r="60" spans="1:5" x14ac:dyDescent="0.35">
      <c r="A60" t="s">
        <v>59</v>
      </c>
      <c r="B60">
        <v>133</v>
      </c>
      <c r="C60">
        <v>136</v>
      </c>
      <c r="D60">
        <f t="shared" si="0"/>
        <v>3</v>
      </c>
      <c r="E60">
        <f t="shared" si="1"/>
        <v>0</v>
      </c>
    </row>
    <row r="61" spans="1:5" x14ac:dyDescent="0.35">
      <c r="A61" t="s">
        <v>60</v>
      </c>
      <c r="B61">
        <v>265</v>
      </c>
      <c r="C61">
        <v>266</v>
      </c>
      <c r="D61">
        <f t="shared" si="0"/>
        <v>1</v>
      </c>
      <c r="E61">
        <f t="shared" si="1"/>
        <v>0</v>
      </c>
    </row>
    <row r="62" spans="1:5" x14ac:dyDescent="0.35">
      <c r="A62" t="s">
        <v>61</v>
      </c>
      <c r="B62">
        <v>357</v>
      </c>
      <c r="C62">
        <v>520</v>
      </c>
      <c r="D62">
        <f t="shared" si="0"/>
        <v>163</v>
      </c>
      <c r="E62">
        <f t="shared" si="1"/>
        <v>5</v>
      </c>
    </row>
    <row r="63" spans="1:5" x14ac:dyDescent="0.35">
      <c r="A63" t="s">
        <v>62</v>
      </c>
      <c r="B63">
        <v>104</v>
      </c>
      <c r="C63">
        <v>103</v>
      </c>
      <c r="D63">
        <f t="shared" si="0"/>
        <v>1</v>
      </c>
      <c r="E63">
        <f t="shared" si="1"/>
        <v>0</v>
      </c>
    </row>
    <row r="64" spans="1:5" x14ac:dyDescent="0.35">
      <c r="A64" t="s">
        <v>63</v>
      </c>
      <c r="B64">
        <v>102</v>
      </c>
      <c r="C64">
        <v>100</v>
      </c>
      <c r="D64">
        <f t="shared" si="0"/>
        <v>2</v>
      </c>
      <c r="E64">
        <f t="shared" si="1"/>
        <v>0</v>
      </c>
    </row>
    <row r="65" spans="1:5" x14ac:dyDescent="0.35">
      <c r="A65" t="s">
        <v>64</v>
      </c>
      <c r="B65">
        <v>249</v>
      </c>
      <c r="C65">
        <v>253</v>
      </c>
      <c r="D65">
        <f t="shared" ref="D65" si="2">ABS(B65-C65)</f>
        <v>4</v>
      </c>
      <c r="E65">
        <f t="shared" ref="E65" si="3">ROUND(D65/30, 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Niloy Sikder</cp:lastModifiedBy>
  <dcterms:modified xsi:type="dcterms:W3CDTF">2025-04-03T03:31:13Z</dcterms:modified>
</cp:coreProperties>
</file>